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CTKM t4\"/>
    </mc:Choice>
  </mc:AlternateContent>
  <bookViews>
    <workbookView xWindow="-105" yWindow="-105" windowWidth="19425" windowHeight="10305" activeTab="1"/>
  </bookViews>
  <sheets>
    <sheet name="Overview" sheetId="1" r:id="rId1"/>
    <sheet name="Chi tiết per SKU" sheetId="2" r:id="rId2"/>
  </sheets>
  <definedNames>
    <definedName name="_xlnm._FilterDatabase" localSheetId="1" hidden="1">'Chi tiết per SKU'!$A$1:$V$35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<sst xmlns="http://schemas.openxmlformats.org/spreadsheetml/2006/main" count="561" uniqueCount="196">
  <si>
    <t>ĐỀ XUẤT CHƯƠNG TRÌNH BÁN HÀNG CẬN DATE — T4/2026</t>
  </si>
  <si>
    <t>Ngày: 2026-04-08 | 152 SKU | 58 salon 30SHINE</t>
  </si>
  <si>
    <t>A. NGUYÊN TẮC TÍNH CHIẾT KHẤU</t>
  </si>
  <si>
    <t>1. Xác định bậc HSD</t>
  </si>
  <si>
    <t>→ Trần CK tối đa (STD-TM-012): 3-6T=70%, 6-9T=40%</t>
  </si>
  <si>
    <t>2. Tính DOI</t>
  </si>
  <si>
    <t>3. Đề xuất MỨC KHỞI ĐIỂM</t>
  </si>
  <si>
    <t>4. Tip tăng cho NV</t>
  </si>
  <si>
    <t>Chỉ 2 mức: +4% (chậm) hoặc +7% (rất chậm). +0% nếu bán tốt. Đơn giản, dễ nhớ.</t>
  </si>
  <si>
    <t>5. Ràng buộc</t>
  </si>
  <si>
    <t>CK khách + Tip (hiện tại + tăng) ≤ Trần. LUÔN LUÔN.</t>
  </si>
  <si>
    <t>6. Review &amp; điều chỉnh</t>
  </si>
  <si>
    <t>Sau 2 tuần: nếu chưa đạt target → tăng CK lên mức max (kịch trần)</t>
  </si>
  <si>
    <t>B. MỤC TIÊU CLEAR T4/2026</t>
  </si>
  <si>
    <t>Bậc HSD</t>
  </si>
  <si>
    <t>Tồn hiện tại</t>
  </si>
  <si>
    <t>Mục tiêu clear</t>
  </si>
  <si>
    <t>SL clear</t>
  </si>
  <si>
    <t>GT nguyên giá</t>
  </si>
  <si>
    <t>GT thu hồi (sau CK)</t>
  </si>
  <si>
    <t>GT CK (mất)</t>
  </si>
  <si>
    <t>CP Tip</t>
  </si>
  <si>
    <t>GT ròng</t>
  </si>
  <si>
    <t>Focus</t>
  </si>
  <si>
    <t>Het HSD</t>
  </si>
  <si>
    <t>367 sp (65 SKU)</t>
  </si>
  <si>
    <t>100%</t>
  </si>
  <si>
    <t>Tặng kèm DV / Hủy — clear toàn bộ</t>
  </si>
  <si>
    <t>0-3T</t>
  </si>
  <si>
    <t>656 sp (34 SKU)</t>
  </si>
  <si>
    <t>3-6T</t>
  </si>
  <si>
    <t>1233 sp (61 SKU)</t>
  </si>
  <si>
    <t>60%</t>
  </si>
  <si>
    <t>Ưu tiên SP còn 3-4T (sắp nhảy khung 0-3T)</t>
  </si>
  <si>
    <t>6-9T</t>
  </si>
  <si>
    <t>1611 sp (71 SKU)</t>
  </si>
  <si>
    <t>30%</t>
  </si>
  <si>
    <t>Ưu tiên SP còn 6-7T (sắp nhảy khung 3-6T)</t>
  </si>
  <si>
    <t>TỔNG MỤC TIÊU T4</t>
  </si>
  <si>
    <t>GT bán nguyên giá (nếu không CK):</t>
  </si>
  <si>
    <t>GT thu hồi dự kiến (sau CK):</t>
  </si>
  <si>
    <t>(40% nguyên giá)</t>
  </si>
  <si>
    <t>Tổng CK cho KH (GT mất):</t>
  </si>
  <si>
    <t>CP Tip NV (seller+ekip+tăng):</t>
  </si>
  <si>
    <t>GT RÒNG THU HỒI:</t>
  </si>
  <si>
    <t>GT MẤT nếu KHÔNG xử lý:</t>
  </si>
  <si>
    <t>C. BẢNG MỨC CHIẾT KHẤU KHỞI ĐIỂM (điều chỉnh sau 2 tuần)</t>
  </si>
  <si>
    <t>Mức chậm bán</t>
  </si>
  <si>
    <t>DOI / Ngày còn lại</t>
  </si>
  <si>
    <t>CK KH (3-6T)</t>
  </si>
  <si>
    <t>CK KH (6-9T)</t>
  </si>
  <si>
    <t>Tip tăng NV</t>
  </si>
  <si>
    <t>Sau 2 tuần nếu chưa đạt</t>
  </si>
  <si>
    <t>Bán tốt</t>
  </si>
  <si>
    <t>&lt; 50%</t>
  </si>
  <si>
    <t>0%</t>
  </si>
  <si>
    <t>+0%</t>
  </si>
  <si>
    <t>Giữ nguyên</t>
  </si>
  <si>
    <t>Chậm nhẹ</t>
  </si>
  <si>
    <t>50-80%</t>
  </si>
  <si>
    <t>15%</t>
  </si>
  <si>
    <t>10%</t>
  </si>
  <si>
    <t>→ 30% / 20%</t>
  </si>
  <si>
    <t>Chậm</t>
  </si>
  <si>
    <t>80-150%</t>
  </si>
  <si>
    <t>+4%</t>
  </si>
  <si>
    <t>→ 50% / 30%</t>
  </si>
  <si>
    <t>Rất chậm / Không bán được</t>
  </si>
  <si>
    <t>&gt;150% / lực bán=0</t>
  </si>
  <si>
    <t>50%</t>
  </si>
  <si>
    <t>25%</t>
  </si>
  <si>
    <t>+7%</t>
  </si>
  <si>
    <t>→ 70% / 40% (max)</t>
  </si>
  <si>
    <t>Trần tối đa:</t>
  </si>
  <si>
    <t>70%</t>
  </si>
  <si>
    <t>40%</t>
  </si>
  <si>
    <t>Không bao giờ vượt trần, kể cả sau điều chỉnh</t>
  </si>
  <si>
    <t>D. TEM MÀU ĐÁNH DẤU SP CẬN DATE (vận hành salon)</t>
  </si>
  <si>
    <t>Mục đích: NV salon nhận diện nhanh, tránh bán nhầm SP date xa nhưng giá cận date cho KH.</t>
  </si>
  <si>
    <t>Tem</t>
  </si>
  <si>
    <t>Ý nghĩa</t>
  </si>
  <si>
    <t>Hành động NV</t>
  </si>
  <si>
    <t>Vị trí dán</t>
  </si>
  <si>
    <t>🔴 ĐỎ</t>
  </si>
  <si>
    <t>Hết HSD + 0-3T</t>
  </si>
  <si>
    <t>KHÔNG BÁN</t>
  </si>
  <si>
    <t>Tặng kèm DV / báo SM hủy</t>
  </si>
  <si>
    <t>Nắp SP + kệ</t>
  </si>
  <si>
    <t>🟡 VÀNG</t>
  </si>
  <si>
    <t>GIẢM GIÁ</t>
  </si>
  <si>
    <t>Ưu tiên giới thiệu KH, tip tăng</t>
  </si>
  <si>
    <t>Thân SP</t>
  </si>
  <si>
    <t>🟢 XANH</t>
  </si>
  <si>
    <t>GIẢM NHẸ</t>
  </si>
  <si>
    <t>Giới thiệu bình thường, tip tăng nhẹ</t>
  </si>
  <si>
    <t>Không tem</t>
  </si>
  <si>
    <t>≥9T</t>
  </si>
  <si>
    <t>Nguyên giá</t>
  </si>
  <si>
    <t>Bán bình thường</t>
  </si>
  <si>
    <t>—</t>
  </si>
  <si>
    <t>Lưu ý:</t>
  </si>
  <si>
    <t>Tem dán TRƯỚC khi SP ra kệ. SM kiểm tra tem đầu tuần. NV bán SP đỏ cho KH → vi phạm.</t>
  </si>
  <si>
    <t>Bậc</t>
  </si>
  <si>
    <t>SKU</t>
  </si>
  <si>
    <t>Tên SP</t>
  </si>
  <si>
    <t>Giá bán</t>
  </si>
  <si>
    <t>SL</t>
  </si>
  <si>
    <t>Salon</t>
  </si>
  <si>
    <t>Bán 30d</t>
  </si>
  <si>
    <t>DOI</t>
  </si>
  <si>
    <t>Ngày còn</t>
  </si>
  <si>
    <t>Tip hiện tại</t>
  </si>
  <si>
    <t>Tip tăng</t>
  </si>
  <si>
    <t>Tổng tip</t>
  </si>
  <si>
    <t>CK KH</t>
  </si>
  <si>
    <t>Tổng CK+Tip</t>
  </si>
  <si>
    <t>Trần</t>
  </si>
  <si>
    <t>Check</t>
  </si>
  <si>
    <t>GT nguyên</t>
  </si>
  <si>
    <t>GT thu hồi</t>
  </si>
  <si>
    <t>CP tip</t>
  </si>
  <si>
    <t>Hành động</t>
  </si>
  <si>
    <t>9%</t>
  </si>
  <si>
    <t>✅</t>
  </si>
  <si>
    <t>Tặng kèm DV / Chuyển VT / Hủy</t>
  </si>
  <si>
    <t>12%</t>
  </si>
  <si>
    <t>∞</t>
  </si>
  <si>
    <t>SP02999</t>
  </si>
  <si>
    <t>Tinh chất ngăn rụng tóc Davines Energizing Superactive 100ml</t>
  </si>
  <si>
    <t>SP01107</t>
  </si>
  <si>
    <t>DG Davines  Renewing Chống lão hóa tóc</t>
  </si>
  <si>
    <t>SP04493</t>
  </si>
  <si>
    <t>Tinh dầu dưỡng tóc Arren Men's Grooming 100ml</t>
  </si>
  <si>
    <t>SP04273</t>
  </si>
  <si>
    <t>Kem tẩy làm sạch tế bào chết Comfort Zone Essential Scrub 60ml</t>
  </si>
  <si>
    <t>7%</t>
  </si>
  <si>
    <t>SP04306</t>
  </si>
  <si>
    <t>Tinh chất dưỡng da Dr. For Skin Dabo Black Force Serum For Men New 2024 120ml</t>
  </si>
  <si>
    <t>SP00920</t>
  </si>
  <si>
    <t>Sáp Teatrea Sharping cream</t>
  </si>
  <si>
    <t>SP04476</t>
  </si>
  <si>
    <t>Xịt khử mùi Good Day Nerman 100ml</t>
  </si>
  <si>
    <t>SP02164</t>
  </si>
  <si>
    <t>Tẩy da chết Cafe trị mụn cơ thể Cocoon 200ml</t>
  </si>
  <si>
    <t>SP05153</t>
  </si>
  <si>
    <t>TPCN - Nước uống năng lượng không đường Dmaxx Red Energy Formular gói 3.4g</t>
  </si>
  <si>
    <t>SP04979</t>
  </si>
  <si>
    <t>Nước uống thải độc, tăng cường miễn dịch Kinohimitsu D'tox Plum Juice (chai 30g)</t>
  </si>
  <si>
    <t>SP03335</t>
  </si>
  <si>
    <t>Sáp tạo kiểu cứng vừa Dry Paste Paul Mitchell 85g</t>
  </si>
  <si>
    <t>SP04981</t>
  </si>
  <si>
    <t>Nước uống chống lão hóa, sáng da Kinohimitsu Collagen Diamond (chai 50g)</t>
  </si>
  <si>
    <t>SP02223</t>
  </si>
  <si>
    <t>DG Paul Mitchel Scalp Care Anti- Thinning 300ml</t>
  </si>
  <si>
    <t>SP00895</t>
  </si>
  <si>
    <t>DG Paul Mitchel Tea Trea Special 300ml</t>
  </si>
  <si>
    <t>SP04176</t>
  </si>
  <si>
    <t>Nước hoa hồng giúp cân bằng và làm dịu da Comfort zone REMEDY TONER 200ml</t>
  </si>
  <si>
    <t>SP02969</t>
  </si>
  <si>
    <t>Tinh chất dưỡng tóc DR. for Hair Folligen Tonic 120ml</t>
  </si>
  <si>
    <t>SP05742</t>
  </si>
  <si>
    <t>Dầu gội Kích thích mọc tóc Ngưu bàng Pharma Bio Laboratory Burdock Shampoo 200ml</t>
  </si>
  <si>
    <t>SP05214</t>
  </si>
  <si>
    <t>Sữa rửa mặt rau má sạch sâu dưỡng ẩm G.G.G Cia Deep Foam Cleanser 125g</t>
  </si>
  <si>
    <t>SP00926</t>
  </si>
  <si>
    <t>DG Paul Mitchel Tea Trea Special  Color Shampo 300ml (2&amp;1)</t>
  </si>
  <si>
    <t>SP04951</t>
  </si>
  <si>
    <t>Mặt nạ làm ấm mắt Etiaxil Eye Mask</t>
  </si>
  <si>
    <t>SP02977</t>
  </si>
  <si>
    <t>Tinh chất nấm Chaga Uniq Booster Ampoule 50ml</t>
  </si>
  <si>
    <t>SP04980</t>
  </si>
  <si>
    <t>Bột uống thải độc, kiểm soát cân nặng Kinohimitsu Detox Enzym (gói 14g)</t>
  </si>
  <si>
    <t>SP05517</t>
  </si>
  <si>
    <t>Dầu gội L'Orsia Betula Alba Scalp Care Shampoo 400ml</t>
  </si>
  <si>
    <t>SP00899</t>
  </si>
  <si>
    <t>Xịt Dưỡng Ẩm và Phục Hồi Awapuhi Moisture Mist</t>
  </si>
  <si>
    <t>SP05154</t>
  </si>
  <si>
    <t>TPCN - Nước hồng sâm có củ Achimmadang Korean Ginseng Root Drink 120ml</t>
  </si>
  <si>
    <t>SP02161</t>
  </si>
  <si>
    <t>Sáp tạo kiểu cứng vừa Dry Paste Paul Mitchell 113g</t>
  </si>
  <si>
    <t>SP05726</t>
  </si>
  <si>
    <t>Tinh chất dưỡng da đầu chuyên sâu Minoxell – Labcle</t>
  </si>
  <si>
    <t>SP04769</t>
  </si>
  <si>
    <t>Tinh dầu dưỡng tóc Moroccanoil Treatment 25ml</t>
  </si>
  <si>
    <t>SP05155</t>
  </si>
  <si>
    <t>TPCN - Nước Hồng Sâm Đông Trùng Hạ Thảo Biok chai 100ml</t>
  </si>
  <si>
    <t>SP00896</t>
  </si>
  <si>
    <t>Xà Bông Paumit Chell Tea Tree Body Bar</t>
  </si>
  <si>
    <t>SP02846</t>
  </si>
  <si>
    <t>Sữa tắm Old Spice Timber 473ml</t>
  </si>
  <si>
    <t>SP04797</t>
  </si>
  <si>
    <t>Tinh Chất Dưỡng Da Chống Lão Hóa Lorsia Power Infusing Concentrate 8ml</t>
  </si>
  <si>
    <t>SP05757</t>
  </si>
  <si>
    <t>Tinh chất cân bằng tóc Feeling Balance Essence</t>
  </si>
  <si>
    <t>SP05761</t>
  </si>
  <si>
    <t>Tinh chất dưỡng cho tóc uốn Feeling Wave Care Essence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</si>
</sst>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rgb="FF1A1A2E"/>
      <name val="Calibri"/>
    </font>
    <font>
      <sz val="9"/>
      <color rgb="FF718096"/>
      <name val="Calibri"/>
    </font>
    <font>
      <b/>
      <sz val="12"/>
      <color rgb="FFDC2626"/>
      <name val="Calibri"/>
    </font>
    <font>
      <sz val="10"/>
      <name val="Calibri"/>
    </font>
    <font>
      <b/>
      <sz val="10"/>
      <name val="Calibri"/>
    </font>
    <font>
      <b/>
      <sz val="10"/>
      <color rgb="FFDC2626"/>
      <name val="Calibri"/>
    </font>
    <font>
      <b/>
      <sz val="12"/>
      <color rgb="FF1A56DB"/>
      <name val="Calibri"/>
    </font>
    <font>
      <b/>
      <sz val="10"/>
      <color rgb="FFFFFFFF"/>
      <name val="Calibri"/>
    </font>
    <font>
      <b/>
      <sz val="12"/>
      <color rgb="FF276749"/>
      <name val="Calibri"/>
    </font>
    <font>
      <b/>
      <sz val="12"/>
      <color rgb="FFE53E3E"/>
      <name val="Calibri"/>
    </font>
    <font>
      <b/>
      <sz val="12"/>
      <color rgb="FFD97706"/>
      <name val="Calibri"/>
    </font>
    <font>
      <b/>
      <sz val="12"/>
      <color rgb="FF1A1A2E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2D3748"/>
      </patternFill>
    </fill>
    <fill>
      <patternFill patternType="solid">
        <fgColor rgb="FF1A1A2E"/>
      </patternFill>
    </fill>
    <fill>
      <patternFill patternType="solid">
        <fgColor rgb="FFFC8181"/>
      </patternFill>
    </fill>
    <fill>
      <patternFill patternType="solid">
        <fgColor rgb="FFFBD38D"/>
      </patternFill>
    </fill>
    <fill>
      <patternFill patternType="solid">
        <fgColor rgb="FFC6F6D5"/>
      </patternFill>
    </fill>
    <fill>
      <patternFill patternType="solid">
        <fgColor rgb="FFFEFCBF"/>
      </patternFill>
    </fill>
    <fill>
      <patternFill patternType="solid">
        <fgColor rgb="FFFED7D7"/>
      </patternFill>
    </fill>
    <fill>
      <patternFill patternType="solid">
        <fgColor rgb="FFFFFBEB"/>
      </patternFill>
    </fill>
    <fill>
      <patternFill patternType="solid">
        <fgColor rgb="FFEBF4FF"/>
      </patternFill>
    </fill>
    <fill>
      <patternFill patternType="solid">
        <fgColor rgb="FFE53E3E"/>
      </patternFill>
    </fill>
    <fill>
      <patternFill patternType="solid">
        <fgColor rgb="FFECC94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7" fillId="3" borderId="1" xfId="0" applyFont="1" applyFill="1" applyBorder="1"/>
    <xf numFmtId="0" fontId="4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3" fontId="4" fillId="0" borderId="1" xfId="0" applyNumberFormat="1" applyFont="1" applyBorder="1"/>
    <xf numFmtId="0" fontId="8" fillId="6" borderId="1" xfId="0" applyFont="1" applyFill="1" applyBorder="1"/>
    <xf numFmtId="0" fontId="5" fillId="7" borderId="1" xfId="0" applyFont="1" applyFill="1" applyBorder="1"/>
    <xf numFmtId="3" fontId="4" fillId="8" borderId="1" xfId="0" applyNumberFormat="1" applyFont="1" applyFill="1" applyBorder="1"/>
    <xf numFmtId="0" fontId="4" fillId="9" borderId="1" xfId="0" applyFont="1" applyFill="1" applyBorder="1"/>
    <xf numFmtId="3" fontId="5" fillId="0" borderId="1" xfId="0" applyNumberFormat="1" applyFont="1" applyBorder="1"/>
    <xf numFmtId="3" fontId="5" fillId="10" borderId="1" xfId="0" applyNumberFormat="1" applyFont="1" applyFill="1" applyBorder="1"/>
    <xf numFmtId="3" fontId="5" fillId="8" borderId="1" xfId="0" applyNumberFormat="1" applyFont="1" applyFill="1" applyBorder="1"/>
    <xf numFmtId="0" fontId="9" fillId="0" borderId="1" xfId="0" applyFont="1" applyBorder="1"/>
    <xf numFmtId="3" fontId="9" fillId="8" borderId="1" xfId="0" applyNumberFormat="1" applyFont="1" applyFill="1" applyBorder="1"/>
    <xf numFmtId="0" fontId="10" fillId="0" borderId="1" xfId="0" applyFont="1" applyBorder="1"/>
    <xf numFmtId="3" fontId="10" fillId="10" borderId="1" xfId="0" applyNumberFormat="1" applyFont="1" applyFill="1" applyBorder="1"/>
    <xf numFmtId="0" fontId="11" fillId="11" borderId="1" xfId="0" applyFont="1" applyFill="1" applyBorder="1"/>
    <xf numFmtId="0" fontId="4" fillId="11" borderId="1" xfId="0" applyFont="1" applyFill="1" applyBorder="1"/>
    <xf numFmtId="0" fontId="5" fillId="9" borderId="1" xfId="0" applyFont="1" applyFill="1" applyBorder="1"/>
    <xf numFmtId="0" fontId="5" fillId="8" borderId="1" xfId="0" applyFont="1" applyFill="1" applyBorder="1"/>
    <xf numFmtId="0" fontId="12" fillId="12" borderId="1" xfId="0" applyFont="1" applyFill="1" applyBorder="1"/>
    <xf numFmtId="0" fontId="4" fillId="12" borderId="1" xfId="0" applyFont="1" applyFill="1" applyBorder="1"/>
    <xf numFmtId="0" fontId="8" fillId="13" borderId="1" xfId="0" applyFont="1" applyFill="1" applyBorder="1"/>
    <xf numFmtId="0" fontId="5" fillId="14" borderId="1" xfId="0" applyFont="1" applyFill="1" applyBorder="1"/>
    <xf numFmtId="0" fontId="4" fillId="8" borderId="1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27" workbookViewId="0"/>
  </sheetViews>
  <sheetFormatPr defaultRowHeight="15" x14ac:dyDescent="0.25"/>
  <cols>
    <col min="1" max="1" width="38" customWidth="1"/>
    <col min="2" max="2" width="22" customWidth="1"/>
    <col min="3" max="3" width="14" customWidth="1"/>
    <col min="4" max="6" width="16" customWidth="1"/>
    <col min="7" max="8" width="14" customWidth="1"/>
    <col min="9" max="9" width="16" customWidth="1"/>
    <col min="10" max="10" width="40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</row>
    <row r="4" spans="1:10" ht="15.75" x14ac:dyDescent="0.25">
      <c r="A4" s="3" t="s">
        <v>2</v>
      </c>
      <c r="B4" s="4"/>
      <c r="C4" s="4"/>
      <c r="D4" s="4"/>
      <c r="E4" s="4"/>
      <c r="F4" s="4"/>
      <c r="G4" s="4"/>
    </row>
    <row r="5" spans="1:10" x14ac:dyDescent="0.25">
      <c r="A5" s="5" t="s">
        <v>3</v>
      </c>
      <c r="B5" s="6" t="s">
        <v>4</v>
      </c>
    </row>
    <row r="6" spans="1:10" x14ac:dyDescent="0.25">
      <c r="A6" s="5" t="s">
        <v>5</v>
      </c>
      <c r="B6" s="6" t="e">
        <f>Tồn kho / Lực bán TB ngày → Đánh giá mức chậm bán</f>
        <v>#NAME?</v>
      </c>
    </row>
    <row r="7" spans="1:10" x14ac:dyDescent="0.25">
      <c r="A7" s="5" t="s">
        <v>6</v>
      </c>
      <c r="B7" s="6"/>
    </row>
    <row r="8" spans="1:10" x14ac:dyDescent="0.25">
      <c r="A8" s="5" t="s">
        <v>7</v>
      </c>
      <c r="B8" s="6" t="s">
        <v>8</v>
      </c>
    </row>
    <row r="9" spans="1:10" x14ac:dyDescent="0.25">
      <c r="A9" s="7" t="s">
        <v>9</v>
      </c>
      <c r="B9" s="7" t="s">
        <v>10</v>
      </c>
    </row>
    <row r="10" spans="1:10" x14ac:dyDescent="0.25">
      <c r="A10" s="5" t="s">
        <v>11</v>
      </c>
      <c r="B10" s="6" t="s">
        <v>12</v>
      </c>
    </row>
    <row r="12" spans="1:10" ht="15.75" x14ac:dyDescent="0.25">
      <c r="A12" s="8" t="s">
        <v>13</v>
      </c>
      <c r="B12" s="9"/>
      <c r="C12" s="9"/>
      <c r="D12" s="9"/>
      <c r="E12" s="9"/>
      <c r="F12" s="9"/>
      <c r="G12" s="9"/>
    </row>
    <row r="13" spans="1:10" x14ac:dyDescent="0.25">
      <c r="A13" s="10" t="s">
        <v>14</v>
      </c>
      <c r="B13" s="10" t="s">
        <v>15</v>
      </c>
      <c r="C13" s="10" t="s">
        <v>16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21</v>
      </c>
      <c r="I13" s="10" t="s">
        <v>22</v>
      </c>
      <c r="J13" s="10" t="s">
        <v>23</v>
      </c>
    </row>
    <row r="14" spans="1:10" x14ac:dyDescent="0.25">
      <c r="A14" s="11" t="s">
        <v>24</v>
      </c>
      <c r="B14" s="6" t="s">
        <v>25</v>
      </c>
      <c r="C14" s="5" t="s">
        <v>26</v>
      </c>
      <c r="D14" s="12">
        <v>367</v>
      </c>
      <c r="E14" s="12">
        <v>149000564</v>
      </c>
      <c r="F14" s="12">
        <v>0</v>
      </c>
      <c r="G14" s="12">
        <v>149000564</v>
      </c>
      <c r="H14" s="12">
        <v>0</v>
      </c>
      <c r="I14" s="12">
        <v>0</v>
      </c>
      <c r="J14" s="2" t="s">
        <v>27</v>
      </c>
    </row>
    <row r="15" spans="1:10" x14ac:dyDescent="0.25">
      <c r="A15" s="13" t="s">
        <v>28</v>
      </c>
      <c r="B15" s="6" t="s">
        <v>29</v>
      </c>
      <c r="C15" s="5" t="s">
        <v>26</v>
      </c>
      <c r="D15" s="12">
        <v>656</v>
      </c>
      <c r="E15" s="12">
        <v>215702340</v>
      </c>
      <c r="F15" s="12">
        <v>0</v>
      </c>
      <c r="G15" s="12">
        <v>215702340</v>
      </c>
      <c r="H15" s="12">
        <v>0</v>
      </c>
      <c r="I15" s="12">
        <v>0</v>
      </c>
      <c r="J15" s="2" t="s">
        <v>27</v>
      </c>
    </row>
    <row r="16" spans="1:10" x14ac:dyDescent="0.25">
      <c r="A16" s="14" t="s">
        <v>30</v>
      </c>
      <c r="B16" s="6" t="s">
        <v>31</v>
      </c>
      <c r="C16" s="5" t="s">
        <v>32</v>
      </c>
      <c r="D16" s="12">
        <v>739</v>
      </c>
      <c r="E16" s="12">
        <v>277855971</v>
      </c>
      <c r="F16" s="12">
        <v>162941418</v>
      </c>
      <c r="G16" s="12">
        <v>114914553</v>
      </c>
      <c r="H16" s="12">
        <v>25040108</v>
      </c>
      <c r="I16" s="15">
        <v>137901309</v>
      </c>
      <c r="J16" s="2" t="s">
        <v>33</v>
      </c>
    </row>
    <row r="17" spans="1:10" x14ac:dyDescent="0.25">
      <c r="A17" s="16" t="s">
        <v>34</v>
      </c>
      <c r="B17" s="6" t="s">
        <v>35</v>
      </c>
      <c r="C17" s="5" t="s">
        <v>36</v>
      </c>
      <c r="D17" s="12">
        <v>483</v>
      </c>
      <c r="E17" s="12">
        <v>199883597</v>
      </c>
      <c r="F17" s="12">
        <v>177093395</v>
      </c>
      <c r="G17" s="12">
        <v>22790202</v>
      </c>
      <c r="H17" s="12">
        <v>20910603</v>
      </c>
      <c r="I17" s="15">
        <v>156182791</v>
      </c>
      <c r="J17" s="2" t="s">
        <v>37</v>
      </c>
    </row>
    <row r="18" spans="1:10" x14ac:dyDescent="0.25">
      <c r="A18" s="5" t="s">
        <v>38</v>
      </c>
      <c r="D18" s="17">
        <v>2245</v>
      </c>
      <c r="E18" s="18">
        <v>842442472</v>
      </c>
      <c r="F18" s="17">
        <v>340034813</v>
      </c>
      <c r="G18" s="17">
        <v>502407659</v>
      </c>
      <c r="H18" s="17">
        <v>45950711</v>
      </c>
      <c r="I18" s="19">
        <v>294084100</v>
      </c>
    </row>
    <row r="20" spans="1:10" x14ac:dyDescent="0.25">
      <c r="A20" s="5" t="s">
        <v>39</v>
      </c>
      <c r="D20" s="17">
        <v>842442472</v>
      </c>
    </row>
    <row r="21" spans="1:10" x14ac:dyDescent="0.25">
      <c r="A21" s="5" t="s">
        <v>40</v>
      </c>
      <c r="D21" s="17">
        <v>340034813</v>
      </c>
      <c r="E21" s="6" t="s">
        <v>41</v>
      </c>
    </row>
    <row r="22" spans="1:10" x14ac:dyDescent="0.25">
      <c r="A22" s="5" t="s">
        <v>42</v>
      </c>
      <c r="D22" s="18">
        <v>502407659</v>
      </c>
    </row>
    <row r="23" spans="1:10" x14ac:dyDescent="0.25">
      <c r="A23" s="5" t="s">
        <v>43</v>
      </c>
      <c r="D23" s="17">
        <v>45950711</v>
      </c>
    </row>
    <row r="24" spans="1:10" ht="15.75" x14ac:dyDescent="0.25">
      <c r="A24" s="20" t="s">
        <v>44</v>
      </c>
      <c r="D24" s="21">
        <v>294084100</v>
      </c>
    </row>
    <row r="25" spans="1:10" ht="15.75" x14ac:dyDescent="0.25">
      <c r="A25" s="22" t="s">
        <v>45</v>
      </c>
      <c r="D25" s="23">
        <v>1494074846</v>
      </c>
    </row>
    <row r="27" spans="1:10" ht="15.75" x14ac:dyDescent="0.25">
      <c r="A27" s="24" t="s">
        <v>46</v>
      </c>
      <c r="B27" s="25"/>
      <c r="C27" s="25"/>
      <c r="D27" s="25"/>
      <c r="E27" s="25"/>
      <c r="F27" s="25"/>
      <c r="G27" s="25"/>
    </row>
    <row r="28" spans="1:10" x14ac:dyDescent="0.25">
      <c r="A28" s="10" t="s">
        <v>47</v>
      </c>
      <c r="B28" s="10" t="s">
        <v>48</v>
      </c>
      <c r="C28" s="10" t="s">
        <v>49</v>
      </c>
      <c r="D28" s="10" t="s">
        <v>50</v>
      </c>
      <c r="E28" s="10" t="s">
        <v>51</v>
      </c>
      <c r="F28" s="10" t="s">
        <v>52</v>
      </c>
    </row>
    <row r="29" spans="1:10" x14ac:dyDescent="0.25">
      <c r="A29" s="5" t="s">
        <v>53</v>
      </c>
      <c r="B29" s="6" t="s">
        <v>54</v>
      </c>
      <c r="C29" s="14" t="s">
        <v>55</v>
      </c>
      <c r="D29" s="26" t="s">
        <v>55</v>
      </c>
      <c r="E29" s="27" t="s">
        <v>56</v>
      </c>
      <c r="F29" s="2" t="s">
        <v>57</v>
      </c>
    </row>
    <row r="30" spans="1:10" x14ac:dyDescent="0.25">
      <c r="A30" s="5" t="s">
        <v>58</v>
      </c>
      <c r="B30" s="6" t="s">
        <v>59</v>
      </c>
      <c r="C30" s="14" t="s">
        <v>60</v>
      </c>
      <c r="D30" s="26" t="s">
        <v>61</v>
      </c>
      <c r="E30" s="27" t="s">
        <v>56</v>
      </c>
      <c r="F30" s="2" t="s">
        <v>62</v>
      </c>
    </row>
    <row r="31" spans="1:10" x14ac:dyDescent="0.25">
      <c r="A31" s="5" t="s">
        <v>63</v>
      </c>
      <c r="B31" s="6" t="s">
        <v>64</v>
      </c>
      <c r="C31" s="14" t="s">
        <v>36</v>
      </c>
      <c r="D31" s="26" t="s">
        <v>60</v>
      </c>
      <c r="E31" s="27" t="s">
        <v>65</v>
      </c>
      <c r="F31" s="2" t="s">
        <v>66</v>
      </c>
    </row>
    <row r="32" spans="1:10" x14ac:dyDescent="0.25">
      <c r="A32" s="5" t="s">
        <v>67</v>
      </c>
      <c r="B32" s="6" t="s">
        <v>68</v>
      </c>
      <c r="C32" s="14" t="s">
        <v>69</v>
      </c>
      <c r="D32" s="26" t="s">
        <v>70</v>
      </c>
      <c r="E32" s="27" t="s">
        <v>71</v>
      </c>
      <c r="F32" s="2" t="s">
        <v>72</v>
      </c>
    </row>
    <row r="33" spans="1:7" x14ac:dyDescent="0.25">
      <c r="A33" s="5" t="s">
        <v>73</v>
      </c>
      <c r="C33" s="5" t="s">
        <v>74</v>
      </c>
      <c r="D33" s="5" t="s">
        <v>75</v>
      </c>
      <c r="F33" s="6" t="s">
        <v>76</v>
      </c>
    </row>
    <row r="35" spans="1:7" ht="15.75" x14ac:dyDescent="0.25">
      <c r="A35" s="28" t="s">
        <v>77</v>
      </c>
      <c r="B35" s="29"/>
      <c r="C35" s="29"/>
      <c r="D35" s="29"/>
      <c r="E35" s="29"/>
      <c r="F35" s="29"/>
      <c r="G35" s="29"/>
    </row>
    <row r="36" spans="1:7" x14ac:dyDescent="0.25">
      <c r="A36" s="6" t="s">
        <v>78</v>
      </c>
    </row>
    <row r="37" spans="1:7" x14ac:dyDescent="0.25">
      <c r="A37" s="10" t="s">
        <v>79</v>
      </c>
      <c r="B37" s="10" t="s">
        <v>14</v>
      </c>
      <c r="C37" s="10" t="s">
        <v>80</v>
      </c>
      <c r="D37" s="10" t="s">
        <v>81</v>
      </c>
      <c r="E37" s="10" t="s">
        <v>82</v>
      </c>
    </row>
    <row r="38" spans="1:7" x14ac:dyDescent="0.25">
      <c r="A38" s="30" t="s">
        <v>83</v>
      </c>
      <c r="B38" s="6" t="s">
        <v>84</v>
      </c>
      <c r="C38" s="6" t="s">
        <v>85</v>
      </c>
      <c r="D38" s="6" t="s">
        <v>86</v>
      </c>
      <c r="E38" s="6" t="s">
        <v>87</v>
      </c>
    </row>
    <row r="39" spans="1:7" x14ac:dyDescent="0.25">
      <c r="A39" s="31" t="s">
        <v>88</v>
      </c>
      <c r="B39" s="6" t="s">
        <v>30</v>
      </c>
      <c r="C39" s="6" t="s">
        <v>89</v>
      </c>
      <c r="D39" s="6" t="s">
        <v>90</v>
      </c>
      <c r="E39" s="6" t="s">
        <v>91</v>
      </c>
    </row>
    <row r="40" spans="1:7" x14ac:dyDescent="0.25">
      <c r="A40" s="27" t="s">
        <v>92</v>
      </c>
      <c r="B40" s="6" t="s">
        <v>34</v>
      </c>
      <c r="C40" s="6" t="s">
        <v>93</v>
      </c>
      <c r="D40" s="6" t="s">
        <v>94</v>
      </c>
      <c r="E40" s="6" t="s">
        <v>91</v>
      </c>
    </row>
    <row r="41" spans="1:7" x14ac:dyDescent="0.25">
      <c r="A41" s="6" t="s">
        <v>95</v>
      </c>
      <c r="B41" s="6" t="s">
        <v>96</v>
      </c>
      <c r="C41" s="6" t="s">
        <v>97</v>
      </c>
      <c r="D41" s="6" t="s">
        <v>98</v>
      </c>
      <c r="E41" s="6" t="s">
        <v>99</v>
      </c>
    </row>
    <row r="42" spans="1:7" x14ac:dyDescent="0.25">
      <c r="A42" s="5" t="s">
        <v>100</v>
      </c>
      <c r="B42" s="6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zoomScale="85" zoomScaleNormal="85" workbookViewId="0">
      <pane xSplit="3" ySplit="1" topLeftCell="D2" activePane="bottomRight" state="frozen"/>
      <selection pane="topRight"/>
      <selection pane="bottomLeft"/>
      <selection pane="bottomRight" activeCell="K44" sqref="K44"/>
    </sheetView>
  </sheetViews>
  <sheetFormatPr defaultRowHeight="15" x14ac:dyDescent="0.25"/>
  <cols>
    <col min="1" max="1" width="8" customWidth="1"/>
    <col min="2" max="2" width="12" customWidth="1"/>
    <col min="3" max="3" width="76.7109375" bestFit="1" customWidth="1"/>
    <col min="4" max="4" width="10" customWidth="1"/>
    <col min="5" max="6" width="6" customWidth="1"/>
    <col min="7" max="7" width="12.42578125" bestFit="1" customWidth="1"/>
    <col min="8" max="9" width="6" customWidth="1"/>
    <col min="10" max="10" width="10.5703125" customWidth="1"/>
    <col min="11" max="11" width="8" customWidth="1"/>
    <col min="12" max="12" width="11.5703125" bestFit="1" customWidth="1"/>
    <col min="13" max="13" width="6" customWidth="1"/>
    <col min="14" max="14" width="15.42578125" bestFit="1" customWidth="1"/>
    <col min="15" max="15" width="6" customWidth="1"/>
    <col min="16" max="16" width="5" customWidth="1"/>
    <col min="17" max="18" width="14" customWidth="1"/>
    <col min="19" max="19" width="12" customWidth="1"/>
    <col min="20" max="20" width="14" customWidth="1"/>
    <col min="21" max="21" width="25" customWidth="1"/>
    <col min="22" max="22" width="10" customWidth="1"/>
  </cols>
  <sheetData>
    <row r="1" spans="1:22" s="34" customFormat="1" ht="25.5" x14ac:dyDescent="0.25">
      <c r="A1" s="33" t="s">
        <v>102</v>
      </c>
      <c r="B1" s="33" t="s">
        <v>103</v>
      </c>
      <c r="C1" s="33" t="s">
        <v>104</v>
      </c>
      <c r="D1" s="33" t="s">
        <v>105</v>
      </c>
      <c r="E1" s="33" t="s">
        <v>106</v>
      </c>
      <c r="F1" s="33" t="s">
        <v>107</v>
      </c>
      <c r="G1" s="33" t="s">
        <v>108</v>
      </c>
      <c r="H1" s="33" t="s">
        <v>109</v>
      </c>
      <c r="I1" s="33" t="s">
        <v>110</v>
      </c>
      <c r="J1" s="33" t="s">
        <v>111</v>
      </c>
      <c r="K1" s="33" t="s">
        <v>112</v>
      </c>
      <c r="L1" s="33" t="s">
        <v>113</v>
      </c>
      <c r="M1" s="33" t="s">
        <v>114</v>
      </c>
      <c r="N1" s="33" t="s">
        <v>115</v>
      </c>
      <c r="O1" s="33" t="s">
        <v>116</v>
      </c>
      <c r="P1" s="33" t="s">
        <v>117</v>
      </c>
      <c r="Q1" s="33" t="s">
        <v>118</v>
      </c>
      <c r="R1" s="33" t="s">
        <v>119</v>
      </c>
      <c r="S1" s="33" t="s">
        <v>120</v>
      </c>
      <c r="T1" s="33" t="s">
        <v>22</v>
      </c>
      <c r="U1" s="33" t="s">
        <v>121</v>
      </c>
      <c r="V1" s="33" t="s">
        <v>79</v>
      </c>
    </row>
    <row r="2" spans="1:22" x14ac:dyDescent="0.25">
      <c r="A2" s="13" t="s">
        <v>28</v>
      </c>
      <c r="B2" s="6" t="s">
        <v>131</v>
      </c>
      <c r="C2" s="6" t="s">
        <v>132</v>
      </c>
      <c r="D2" s="12">
        <v>369000</v>
      </c>
      <c r="E2" s="12">
        <v>245</v>
      </c>
      <c r="F2" s="12">
        <v>35</v>
      </c>
      <c r="G2" s="12">
        <v>909</v>
      </c>
      <c r="H2" s="6">
        <v>8</v>
      </c>
      <c r="I2" s="6">
        <v>45</v>
      </c>
      <c r="J2" s="6" t="s">
        <v>125</v>
      </c>
      <c r="K2" s="5" t="s">
        <v>99</v>
      </c>
      <c r="L2" s="6" t="s">
        <v>55</v>
      </c>
      <c r="M2" s="14" t="s">
        <v>26</v>
      </c>
      <c r="N2" s="5" t="s">
        <v>26</v>
      </c>
      <c r="O2" s="6" t="s">
        <v>26</v>
      </c>
      <c r="P2" s="32" t="s">
        <v>123</v>
      </c>
      <c r="Q2" s="12">
        <v>90405000</v>
      </c>
      <c r="R2" s="12">
        <v>0</v>
      </c>
      <c r="S2" s="12">
        <v>0</v>
      </c>
      <c r="T2" s="12">
        <v>0</v>
      </c>
      <c r="U2" s="6" t="s">
        <v>124</v>
      </c>
      <c r="V2" s="30" t="s">
        <v>83</v>
      </c>
    </row>
    <row r="3" spans="1:22" x14ac:dyDescent="0.25">
      <c r="A3" s="13" t="s">
        <v>28</v>
      </c>
      <c r="B3" s="6" t="s">
        <v>133</v>
      </c>
      <c r="C3" s="6" t="s">
        <v>134</v>
      </c>
      <c r="D3" s="12">
        <v>1166000</v>
      </c>
      <c r="E3" s="12">
        <v>28</v>
      </c>
      <c r="F3" s="12">
        <v>9</v>
      </c>
      <c r="G3" s="12">
        <v>0</v>
      </c>
      <c r="H3" s="6" t="s">
        <v>126</v>
      </c>
      <c r="I3" s="6">
        <v>45</v>
      </c>
      <c r="J3" s="6" t="s">
        <v>122</v>
      </c>
      <c r="K3" s="5" t="s">
        <v>99</v>
      </c>
      <c r="L3" s="6" t="s">
        <v>55</v>
      </c>
      <c r="M3" s="14" t="s">
        <v>26</v>
      </c>
      <c r="N3" s="5" t="s">
        <v>26</v>
      </c>
      <c r="O3" s="6" t="s">
        <v>26</v>
      </c>
      <c r="P3" s="32" t="s">
        <v>123</v>
      </c>
      <c r="Q3" s="12">
        <v>32648000</v>
      </c>
      <c r="R3" s="12">
        <v>0</v>
      </c>
      <c r="S3" s="12">
        <v>0</v>
      </c>
      <c r="T3" s="12">
        <v>0</v>
      </c>
      <c r="U3" s="6" t="s">
        <v>124</v>
      </c>
      <c r="V3" s="30" t="s">
        <v>83</v>
      </c>
    </row>
    <row r="4" spans="1:22" x14ac:dyDescent="0.25">
      <c r="A4" s="13" t="s">
        <v>28</v>
      </c>
      <c r="B4" s="6" t="s">
        <v>146</v>
      </c>
      <c r="C4" s="6" t="s">
        <v>147</v>
      </c>
      <c r="D4" s="12">
        <v>128000</v>
      </c>
      <c r="E4" s="12">
        <v>82</v>
      </c>
      <c r="F4" s="12">
        <v>1</v>
      </c>
      <c r="G4" s="12">
        <v>0</v>
      </c>
      <c r="H4" s="6" t="s">
        <v>126</v>
      </c>
      <c r="I4" s="6">
        <v>45</v>
      </c>
      <c r="J4" s="6" t="s">
        <v>122</v>
      </c>
      <c r="K4" s="5" t="s">
        <v>99</v>
      </c>
      <c r="L4" s="6" t="s">
        <v>55</v>
      </c>
      <c r="M4" s="14" t="s">
        <v>26</v>
      </c>
      <c r="N4" s="5" t="s">
        <v>26</v>
      </c>
      <c r="O4" s="6" t="s">
        <v>26</v>
      </c>
      <c r="P4" s="32" t="s">
        <v>123</v>
      </c>
      <c r="Q4" s="12">
        <v>10496000</v>
      </c>
      <c r="R4" s="12">
        <v>0</v>
      </c>
      <c r="S4" s="12">
        <v>0</v>
      </c>
      <c r="T4" s="12">
        <v>0</v>
      </c>
      <c r="U4" s="6" t="s">
        <v>124</v>
      </c>
      <c r="V4" s="30" t="s">
        <v>83</v>
      </c>
    </row>
    <row r="5" spans="1:22" x14ac:dyDescent="0.25">
      <c r="A5" s="13" t="s">
        <v>28</v>
      </c>
      <c r="B5" s="6" t="s">
        <v>138</v>
      </c>
      <c r="C5" s="6" t="s">
        <v>139</v>
      </c>
      <c r="D5" s="12">
        <v>729000</v>
      </c>
      <c r="E5" s="12">
        <v>13</v>
      </c>
      <c r="F5" s="12">
        <v>12</v>
      </c>
      <c r="G5" s="12">
        <v>0</v>
      </c>
      <c r="H5" s="6" t="s">
        <v>126</v>
      </c>
      <c r="I5" s="6">
        <v>45</v>
      </c>
      <c r="J5" s="6" t="s">
        <v>122</v>
      </c>
      <c r="K5" s="5" t="s">
        <v>99</v>
      </c>
      <c r="L5" s="6" t="s">
        <v>55</v>
      </c>
      <c r="M5" s="14" t="s">
        <v>26</v>
      </c>
      <c r="N5" s="5" t="s">
        <v>26</v>
      </c>
      <c r="O5" s="6" t="s">
        <v>26</v>
      </c>
      <c r="P5" s="32" t="s">
        <v>123</v>
      </c>
      <c r="Q5" s="12">
        <v>9477000</v>
      </c>
      <c r="R5" s="12">
        <v>0</v>
      </c>
      <c r="S5" s="12">
        <v>0</v>
      </c>
      <c r="T5" s="12">
        <v>0</v>
      </c>
      <c r="U5" s="6" t="s">
        <v>124</v>
      </c>
      <c r="V5" s="30" t="s">
        <v>83</v>
      </c>
    </row>
    <row r="6" spans="1:22" x14ac:dyDescent="0.25">
      <c r="A6" s="13" t="s">
        <v>28</v>
      </c>
      <c r="B6" s="6" t="s">
        <v>148</v>
      </c>
      <c r="C6" s="6" t="s">
        <v>149</v>
      </c>
      <c r="D6" s="12">
        <v>719000</v>
      </c>
      <c r="E6" s="12">
        <v>13</v>
      </c>
      <c r="F6" s="12">
        <v>22</v>
      </c>
      <c r="G6" s="12">
        <v>20</v>
      </c>
      <c r="H6" s="6">
        <v>19</v>
      </c>
      <c r="I6" s="6">
        <v>45</v>
      </c>
      <c r="J6" s="6" t="s">
        <v>122</v>
      </c>
      <c r="K6" s="5" t="s">
        <v>99</v>
      </c>
      <c r="L6" s="6" t="s">
        <v>55</v>
      </c>
      <c r="M6" s="14" t="s">
        <v>26</v>
      </c>
      <c r="N6" s="5" t="s">
        <v>26</v>
      </c>
      <c r="O6" s="6" t="s">
        <v>26</v>
      </c>
      <c r="P6" s="32" t="s">
        <v>123</v>
      </c>
      <c r="Q6" s="12">
        <v>9347000</v>
      </c>
      <c r="R6" s="12">
        <v>0</v>
      </c>
      <c r="S6" s="12">
        <v>0</v>
      </c>
      <c r="T6" s="12">
        <v>0</v>
      </c>
      <c r="U6" s="6" t="s">
        <v>124</v>
      </c>
      <c r="V6" s="30" t="s">
        <v>83</v>
      </c>
    </row>
    <row r="7" spans="1:22" x14ac:dyDescent="0.25">
      <c r="A7" s="13" t="s">
        <v>28</v>
      </c>
      <c r="B7" s="6" t="s">
        <v>150</v>
      </c>
      <c r="C7" s="6" t="s">
        <v>151</v>
      </c>
      <c r="D7" s="12">
        <v>102000</v>
      </c>
      <c r="E7" s="12">
        <v>82</v>
      </c>
      <c r="F7" s="12">
        <v>1</v>
      </c>
      <c r="G7" s="12">
        <v>10</v>
      </c>
      <c r="H7" s="6">
        <v>246</v>
      </c>
      <c r="I7" s="6">
        <v>45</v>
      </c>
      <c r="J7" s="6" t="s">
        <v>122</v>
      </c>
      <c r="K7" s="5" t="s">
        <v>99</v>
      </c>
      <c r="L7" s="6" t="s">
        <v>55</v>
      </c>
      <c r="M7" s="14" t="s">
        <v>26</v>
      </c>
      <c r="N7" s="5" t="s">
        <v>26</v>
      </c>
      <c r="O7" s="6" t="s">
        <v>26</v>
      </c>
      <c r="P7" s="32" t="s">
        <v>123</v>
      </c>
      <c r="Q7" s="12">
        <v>8364000</v>
      </c>
      <c r="R7" s="12">
        <v>0</v>
      </c>
      <c r="S7" s="12">
        <v>0</v>
      </c>
      <c r="T7" s="12">
        <v>0</v>
      </c>
      <c r="U7" s="6" t="s">
        <v>124</v>
      </c>
      <c r="V7" s="30" t="s">
        <v>83</v>
      </c>
    </row>
    <row r="8" spans="1:22" x14ac:dyDescent="0.25">
      <c r="A8" s="13" t="s">
        <v>28</v>
      </c>
      <c r="B8" s="6" t="s">
        <v>127</v>
      </c>
      <c r="C8" s="6" t="s">
        <v>128</v>
      </c>
      <c r="D8" s="12">
        <v>1567000</v>
      </c>
      <c r="E8" s="12">
        <v>5</v>
      </c>
      <c r="F8" s="12">
        <v>28</v>
      </c>
      <c r="G8" s="12">
        <v>3</v>
      </c>
      <c r="H8" s="6">
        <v>50</v>
      </c>
      <c r="I8" s="6">
        <v>45</v>
      </c>
      <c r="J8" s="6" t="s">
        <v>122</v>
      </c>
      <c r="K8" s="5" t="s">
        <v>99</v>
      </c>
      <c r="L8" s="6" t="s">
        <v>55</v>
      </c>
      <c r="M8" s="14" t="s">
        <v>26</v>
      </c>
      <c r="N8" s="5" t="s">
        <v>26</v>
      </c>
      <c r="O8" s="6" t="s">
        <v>26</v>
      </c>
      <c r="P8" s="32" t="s">
        <v>123</v>
      </c>
      <c r="Q8" s="12">
        <v>7835000</v>
      </c>
      <c r="R8" s="12">
        <v>0</v>
      </c>
      <c r="S8" s="12">
        <v>0</v>
      </c>
      <c r="T8" s="12">
        <v>0</v>
      </c>
      <c r="U8" s="6" t="s">
        <v>124</v>
      </c>
      <c r="V8" s="30" t="s">
        <v>83</v>
      </c>
    </row>
    <row r="9" spans="1:22" x14ac:dyDescent="0.25">
      <c r="A9" s="13" t="s">
        <v>28</v>
      </c>
      <c r="B9" s="6" t="s">
        <v>152</v>
      </c>
      <c r="C9" s="6" t="s">
        <v>153</v>
      </c>
      <c r="D9" s="12">
        <v>699000</v>
      </c>
      <c r="E9" s="12">
        <v>11</v>
      </c>
      <c r="F9" s="12">
        <v>6</v>
      </c>
      <c r="G9" s="12">
        <v>0</v>
      </c>
      <c r="H9" s="6" t="s">
        <v>126</v>
      </c>
      <c r="I9" s="6">
        <v>45</v>
      </c>
      <c r="J9" s="6" t="s">
        <v>61</v>
      </c>
      <c r="K9" s="5" t="s">
        <v>99</v>
      </c>
      <c r="L9" s="6" t="s">
        <v>55</v>
      </c>
      <c r="M9" s="14" t="s">
        <v>26</v>
      </c>
      <c r="N9" s="5" t="s">
        <v>26</v>
      </c>
      <c r="O9" s="6" t="s">
        <v>26</v>
      </c>
      <c r="P9" s="32" t="s">
        <v>123</v>
      </c>
      <c r="Q9" s="12">
        <v>7689000</v>
      </c>
      <c r="R9" s="12">
        <v>0</v>
      </c>
      <c r="S9" s="12">
        <v>0</v>
      </c>
      <c r="T9" s="12">
        <v>0</v>
      </c>
      <c r="U9" s="6" t="s">
        <v>124</v>
      </c>
      <c r="V9" s="30" t="s">
        <v>83</v>
      </c>
    </row>
    <row r="10" spans="1:22" x14ac:dyDescent="0.25">
      <c r="A10" s="13" t="s">
        <v>28</v>
      </c>
      <c r="B10" s="6" t="s">
        <v>154</v>
      </c>
      <c r="C10" s="6" t="s">
        <v>155</v>
      </c>
      <c r="D10" s="12">
        <v>559000</v>
      </c>
      <c r="E10" s="12">
        <v>11</v>
      </c>
      <c r="F10" s="12">
        <v>6</v>
      </c>
      <c r="G10" s="12">
        <v>0</v>
      </c>
      <c r="H10" s="6" t="s">
        <v>126</v>
      </c>
      <c r="I10" s="6">
        <v>45</v>
      </c>
      <c r="J10" s="6" t="s">
        <v>122</v>
      </c>
      <c r="K10" s="5" t="s">
        <v>99</v>
      </c>
      <c r="L10" s="6" t="s">
        <v>55</v>
      </c>
      <c r="M10" s="14" t="s">
        <v>26</v>
      </c>
      <c r="N10" s="5" t="s">
        <v>26</v>
      </c>
      <c r="O10" s="6" t="s">
        <v>26</v>
      </c>
      <c r="P10" s="32" t="s">
        <v>123</v>
      </c>
      <c r="Q10" s="12">
        <v>6149000</v>
      </c>
      <c r="R10" s="12">
        <v>0</v>
      </c>
      <c r="S10" s="12">
        <v>0</v>
      </c>
      <c r="T10" s="12">
        <v>0</v>
      </c>
      <c r="U10" s="6" t="s">
        <v>124</v>
      </c>
      <c r="V10" s="30" t="s">
        <v>83</v>
      </c>
    </row>
    <row r="11" spans="1:22" x14ac:dyDescent="0.25">
      <c r="A11" s="13" t="s">
        <v>28</v>
      </c>
      <c r="B11" s="6" t="s">
        <v>156</v>
      </c>
      <c r="C11" s="6" t="s">
        <v>157</v>
      </c>
      <c r="D11" s="12">
        <v>990042</v>
      </c>
      <c r="E11" s="12">
        <v>6</v>
      </c>
      <c r="F11" s="12">
        <v>14</v>
      </c>
      <c r="G11" s="12">
        <v>7</v>
      </c>
      <c r="H11" s="6">
        <v>25</v>
      </c>
      <c r="I11" s="6">
        <v>45</v>
      </c>
      <c r="J11" s="6" t="s">
        <v>122</v>
      </c>
      <c r="K11" s="5" t="s">
        <v>99</v>
      </c>
      <c r="L11" s="6" t="s">
        <v>55</v>
      </c>
      <c r="M11" s="14" t="s">
        <v>26</v>
      </c>
      <c r="N11" s="5" t="s">
        <v>26</v>
      </c>
      <c r="O11" s="6" t="s">
        <v>26</v>
      </c>
      <c r="P11" s="32" t="s">
        <v>123</v>
      </c>
      <c r="Q11" s="12">
        <v>5940252</v>
      </c>
      <c r="R11" s="12">
        <v>0</v>
      </c>
      <c r="S11" s="12">
        <v>0</v>
      </c>
      <c r="T11" s="12">
        <v>0</v>
      </c>
      <c r="U11" s="6" t="s">
        <v>124</v>
      </c>
      <c r="V11" s="30" t="s">
        <v>83</v>
      </c>
    </row>
    <row r="12" spans="1:22" x14ac:dyDescent="0.25">
      <c r="A12" s="13" t="s">
        <v>28</v>
      </c>
      <c r="B12" s="6" t="s">
        <v>158</v>
      </c>
      <c r="C12" s="6" t="s">
        <v>159</v>
      </c>
      <c r="D12" s="12">
        <v>387901</v>
      </c>
      <c r="E12" s="12">
        <v>15</v>
      </c>
      <c r="F12" s="12">
        <v>7</v>
      </c>
      <c r="G12" s="12">
        <v>1</v>
      </c>
      <c r="H12" s="6">
        <v>450</v>
      </c>
      <c r="I12" s="6">
        <v>45</v>
      </c>
      <c r="J12" s="6" t="s">
        <v>61</v>
      </c>
      <c r="K12" s="5" t="s">
        <v>99</v>
      </c>
      <c r="L12" s="6" t="s">
        <v>55</v>
      </c>
      <c r="M12" s="14" t="s">
        <v>26</v>
      </c>
      <c r="N12" s="5" t="s">
        <v>26</v>
      </c>
      <c r="O12" s="6" t="s">
        <v>26</v>
      </c>
      <c r="P12" s="32" t="s">
        <v>123</v>
      </c>
      <c r="Q12" s="12">
        <v>5818515</v>
      </c>
      <c r="R12" s="12">
        <v>0</v>
      </c>
      <c r="S12" s="12">
        <v>0</v>
      </c>
      <c r="T12" s="12">
        <v>0</v>
      </c>
      <c r="U12" s="6" t="s">
        <v>124</v>
      </c>
      <c r="V12" s="30" t="s">
        <v>83</v>
      </c>
    </row>
    <row r="13" spans="1:22" x14ac:dyDescent="0.25">
      <c r="A13" s="13" t="s">
        <v>28</v>
      </c>
      <c r="B13" s="6" t="s">
        <v>160</v>
      </c>
      <c r="C13" s="6" t="s">
        <v>161</v>
      </c>
      <c r="D13" s="12">
        <v>451528</v>
      </c>
      <c r="E13" s="12">
        <v>7</v>
      </c>
      <c r="F13" s="12">
        <v>57</v>
      </c>
      <c r="G13" s="12">
        <v>148</v>
      </c>
      <c r="H13" s="6">
        <v>1</v>
      </c>
      <c r="I13" s="6">
        <v>45</v>
      </c>
      <c r="J13" s="6" t="s">
        <v>125</v>
      </c>
      <c r="K13" s="5" t="s">
        <v>99</v>
      </c>
      <c r="L13" s="6" t="s">
        <v>55</v>
      </c>
      <c r="M13" s="14" t="s">
        <v>26</v>
      </c>
      <c r="N13" s="5" t="s">
        <v>26</v>
      </c>
      <c r="O13" s="6" t="s">
        <v>26</v>
      </c>
      <c r="P13" s="32" t="s">
        <v>123</v>
      </c>
      <c r="Q13" s="12">
        <v>3160696</v>
      </c>
      <c r="R13" s="12">
        <v>0</v>
      </c>
      <c r="S13" s="12">
        <v>0</v>
      </c>
      <c r="T13" s="12">
        <v>0</v>
      </c>
      <c r="U13" s="6" t="s">
        <v>124</v>
      </c>
      <c r="V13" s="30" t="s">
        <v>83</v>
      </c>
    </row>
    <row r="14" spans="1:22" x14ac:dyDescent="0.25">
      <c r="A14" s="13" t="s">
        <v>28</v>
      </c>
      <c r="B14" s="6" t="s">
        <v>162</v>
      </c>
      <c r="C14" s="6" t="s">
        <v>163</v>
      </c>
      <c r="D14" s="12">
        <v>435473</v>
      </c>
      <c r="E14" s="12">
        <v>7</v>
      </c>
      <c r="F14" s="12">
        <v>26</v>
      </c>
      <c r="G14" s="12">
        <v>98</v>
      </c>
      <c r="H14" s="6">
        <v>2</v>
      </c>
      <c r="I14" s="6">
        <v>45</v>
      </c>
      <c r="J14" s="6" t="s">
        <v>61</v>
      </c>
      <c r="K14" s="5" t="s">
        <v>99</v>
      </c>
      <c r="L14" s="6" t="s">
        <v>55</v>
      </c>
      <c r="M14" s="14" t="s">
        <v>26</v>
      </c>
      <c r="N14" s="5" t="s">
        <v>26</v>
      </c>
      <c r="O14" s="6" t="s">
        <v>26</v>
      </c>
      <c r="P14" s="32" t="s">
        <v>123</v>
      </c>
      <c r="Q14" s="12">
        <v>3048311</v>
      </c>
      <c r="R14" s="12">
        <v>0</v>
      </c>
      <c r="S14" s="12">
        <v>0</v>
      </c>
      <c r="T14" s="12">
        <v>0</v>
      </c>
      <c r="U14" s="6" t="s">
        <v>124</v>
      </c>
      <c r="V14" s="30" t="s">
        <v>83</v>
      </c>
    </row>
    <row r="15" spans="1:22" x14ac:dyDescent="0.25">
      <c r="A15" s="13" t="s">
        <v>28</v>
      </c>
      <c r="B15" s="6" t="s">
        <v>164</v>
      </c>
      <c r="C15" s="6" t="s">
        <v>165</v>
      </c>
      <c r="D15" s="12">
        <v>649000</v>
      </c>
      <c r="E15" s="12">
        <v>3</v>
      </c>
      <c r="F15" s="12">
        <v>4</v>
      </c>
      <c r="G15" s="12">
        <v>0</v>
      </c>
      <c r="H15" s="6" t="s">
        <v>126</v>
      </c>
      <c r="I15" s="6">
        <v>45</v>
      </c>
      <c r="J15" s="6" t="s">
        <v>61</v>
      </c>
      <c r="K15" s="5" t="s">
        <v>99</v>
      </c>
      <c r="L15" s="6" t="s">
        <v>55</v>
      </c>
      <c r="M15" s="14" t="s">
        <v>26</v>
      </c>
      <c r="N15" s="5" t="s">
        <v>26</v>
      </c>
      <c r="O15" s="6" t="s">
        <v>26</v>
      </c>
      <c r="P15" s="32" t="s">
        <v>123</v>
      </c>
      <c r="Q15" s="12">
        <v>1947000</v>
      </c>
      <c r="R15" s="12">
        <v>0</v>
      </c>
      <c r="S15" s="12">
        <v>0</v>
      </c>
      <c r="T15" s="12">
        <v>0</v>
      </c>
      <c r="U15" s="6" t="s">
        <v>124</v>
      </c>
      <c r="V15" s="30" t="s">
        <v>83</v>
      </c>
    </row>
    <row r="16" spans="1:22" x14ac:dyDescent="0.25">
      <c r="A16" s="13" t="s">
        <v>28</v>
      </c>
      <c r="B16" s="6" t="s">
        <v>129</v>
      </c>
      <c r="C16" s="6" t="s">
        <v>130</v>
      </c>
      <c r="D16" s="12">
        <v>425170</v>
      </c>
      <c r="E16" s="12">
        <v>4</v>
      </c>
      <c r="F16" s="12">
        <v>36</v>
      </c>
      <c r="G16" s="12">
        <v>26</v>
      </c>
      <c r="H16" s="6">
        <v>4</v>
      </c>
      <c r="I16" s="6">
        <v>45</v>
      </c>
      <c r="J16" s="6" t="s">
        <v>61</v>
      </c>
      <c r="K16" s="5" t="s">
        <v>99</v>
      </c>
      <c r="L16" s="6" t="s">
        <v>55</v>
      </c>
      <c r="M16" s="14" t="s">
        <v>26</v>
      </c>
      <c r="N16" s="5" t="s">
        <v>26</v>
      </c>
      <c r="O16" s="6" t="s">
        <v>26</v>
      </c>
      <c r="P16" s="32" t="s">
        <v>123</v>
      </c>
      <c r="Q16" s="12">
        <v>1700680</v>
      </c>
      <c r="R16" s="12">
        <v>0</v>
      </c>
      <c r="S16" s="12">
        <v>0</v>
      </c>
      <c r="T16" s="12">
        <v>0</v>
      </c>
      <c r="U16" s="6" t="s">
        <v>124</v>
      </c>
      <c r="V16" s="30" t="s">
        <v>83</v>
      </c>
    </row>
    <row r="17" spans="1:22" x14ac:dyDescent="0.25">
      <c r="A17" s="13" t="s">
        <v>28</v>
      </c>
      <c r="B17" s="6" t="s">
        <v>144</v>
      </c>
      <c r="C17" s="6" t="s">
        <v>145</v>
      </c>
      <c r="D17" s="12">
        <v>51000</v>
      </c>
      <c r="E17" s="12">
        <v>30</v>
      </c>
      <c r="F17" s="12">
        <v>3</v>
      </c>
      <c r="G17" s="12">
        <v>30</v>
      </c>
      <c r="H17" s="6">
        <v>30</v>
      </c>
      <c r="I17" s="6">
        <v>45</v>
      </c>
      <c r="J17" s="6" t="s">
        <v>122</v>
      </c>
      <c r="K17" s="5" t="s">
        <v>99</v>
      </c>
      <c r="L17" s="6" t="s">
        <v>55</v>
      </c>
      <c r="M17" s="14" t="s">
        <v>26</v>
      </c>
      <c r="N17" s="5" t="s">
        <v>26</v>
      </c>
      <c r="O17" s="6" t="s">
        <v>26</v>
      </c>
      <c r="P17" s="32" t="s">
        <v>123</v>
      </c>
      <c r="Q17" s="12">
        <v>1530000</v>
      </c>
      <c r="R17" s="12">
        <v>0</v>
      </c>
      <c r="S17" s="12">
        <v>0</v>
      </c>
      <c r="T17" s="12">
        <v>0</v>
      </c>
      <c r="U17" s="6" t="s">
        <v>124</v>
      </c>
      <c r="V17" s="30" t="s">
        <v>83</v>
      </c>
    </row>
    <row r="18" spans="1:22" x14ac:dyDescent="0.25">
      <c r="A18" s="13" t="s">
        <v>28</v>
      </c>
      <c r="B18" s="6" t="s">
        <v>166</v>
      </c>
      <c r="C18" s="6" t="s">
        <v>167</v>
      </c>
      <c r="D18" s="12">
        <v>100000</v>
      </c>
      <c r="E18" s="12">
        <v>14</v>
      </c>
      <c r="F18" s="12">
        <v>2</v>
      </c>
      <c r="G18" s="12">
        <v>0</v>
      </c>
      <c r="H18" s="6" t="s">
        <v>126</v>
      </c>
      <c r="I18" s="6">
        <v>45</v>
      </c>
      <c r="J18" s="6" t="s">
        <v>122</v>
      </c>
      <c r="K18" s="5" t="s">
        <v>99</v>
      </c>
      <c r="L18" s="6" t="s">
        <v>55</v>
      </c>
      <c r="M18" s="14" t="s">
        <v>26</v>
      </c>
      <c r="N18" s="5" t="s">
        <v>26</v>
      </c>
      <c r="O18" s="6" t="s">
        <v>26</v>
      </c>
      <c r="P18" s="32" t="s">
        <v>123</v>
      </c>
      <c r="Q18" s="12">
        <v>1400000</v>
      </c>
      <c r="R18" s="12">
        <v>0</v>
      </c>
      <c r="S18" s="12">
        <v>0</v>
      </c>
      <c r="T18" s="12">
        <v>0</v>
      </c>
      <c r="U18" s="6" t="s">
        <v>124</v>
      </c>
      <c r="V18" s="30" t="s">
        <v>83</v>
      </c>
    </row>
    <row r="19" spans="1:22" x14ac:dyDescent="0.25">
      <c r="A19" s="13" t="s">
        <v>28</v>
      </c>
      <c r="B19" s="6" t="s">
        <v>136</v>
      </c>
      <c r="C19" s="6" t="s">
        <v>137</v>
      </c>
      <c r="D19" s="12">
        <v>532568</v>
      </c>
      <c r="E19" s="12">
        <v>2</v>
      </c>
      <c r="F19" s="12">
        <v>7</v>
      </c>
      <c r="G19" s="12">
        <v>16</v>
      </c>
      <c r="H19" s="6">
        <v>3</v>
      </c>
      <c r="I19" s="6">
        <v>45</v>
      </c>
      <c r="J19" s="6" t="s">
        <v>125</v>
      </c>
      <c r="K19" s="5" t="s">
        <v>99</v>
      </c>
      <c r="L19" s="6" t="s">
        <v>55</v>
      </c>
      <c r="M19" s="14" t="s">
        <v>26</v>
      </c>
      <c r="N19" s="5" t="s">
        <v>26</v>
      </c>
      <c r="O19" s="6" t="s">
        <v>26</v>
      </c>
      <c r="P19" s="32" t="s">
        <v>123</v>
      </c>
      <c r="Q19" s="12">
        <v>1065136</v>
      </c>
      <c r="R19" s="12">
        <v>0</v>
      </c>
      <c r="S19" s="12">
        <v>0</v>
      </c>
      <c r="T19" s="12">
        <v>0</v>
      </c>
      <c r="U19" s="6" t="s">
        <v>124</v>
      </c>
      <c r="V19" s="30" t="s">
        <v>83</v>
      </c>
    </row>
    <row r="20" spans="1:22" x14ac:dyDescent="0.25">
      <c r="A20" s="13" t="s">
        <v>28</v>
      </c>
      <c r="B20" s="6" t="s">
        <v>168</v>
      </c>
      <c r="C20" s="6" t="s">
        <v>169</v>
      </c>
      <c r="D20" s="12">
        <v>509853</v>
      </c>
      <c r="E20" s="12">
        <v>2</v>
      </c>
      <c r="F20" s="12">
        <v>2</v>
      </c>
      <c r="G20" s="12">
        <v>0</v>
      </c>
      <c r="H20" s="6" t="s">
        <v>126</v>
      </c>
      <c r="I20" s="6">
        <v>45</v>
      </c>
      <c r="J20" s="6" t="s">
        <v>61</v>
      </c>
      <c r="K20" s="5" t="s">
        <v>99</v>
      </c>
      <c r="L20" s="6" t="s">
        <v>55</v>
      </c>
      <c r="M20" s="14" t="s">
        <v>26</v>
      </c>
      <c r="N20" s="5" t="s">
        <v>26</v>
      </c>
      <c r="O20" s="6" t="s">
        <v>26</v>
      </c>
      <c r="P20" s="32" t="s">
        <v>123</v>
      </c>
      <c r="Q20" s="12">
        <v>1019706</v>
      </c>
      <c r="R20" s="12">
        <v>0</v>
      </c>
      <c r="S20" s="12">
        <v>0</v>
      </c>
      <c r="T20" s="12">
        <v>0</v>
      </c>
      <c r="U20" s="6" t="s">
        <v>124</v>
      </c>
      <c r="V20" s="30" t="s">
        <v>83</v>
      </c>
    </row>
    <row r="21" spans="1:22" x14ac:dyDescent="0.25">
      <c r="A21" s="13" t="s">
        <v>28</v>
      </c>
      <c r="B21" s="6" t="s">
        <v>170</v>
      </c>
      <c r="C21" s="6" t="s">
        <v>171</v>
      </c>
      <c r="D21" s="12">
        <v>38000</v>
      </c>
      <c r="E21" s="12">
        <v>26</v>
      </c>
      <c r="F21" s="12">
        <v>4</v>
      </c>
      <c r="G21" s="12">
        <v>0</v>
      </c>
      <c r="H21" s="6" t="s">
        <v>126</v>
      </c>
      <c r="I21" s="6">
        <v>45</v>
      </c>
      <c r="J21" s="6" t="s">
        <v>122</v>
      </c>
      <c r="K21" s="5" t="s">
        <v>99</v>
      </c>
      <c r="L21" s="6" t="s">
        <v>55</v>
      </c>
      <c r="M21" s="14" t="s">
        <v>26</v>
      </c>
      <c r="N21" s="5" t="s">
        <v>26</v>
      </c>
      <c r="O21" s="6" t="s">
        <v>26</v>
      </c>
      <c r="P21" s="32" t="s">
        <v>123</v>
      </c>
      <c r="Q21" s="12">
        <v>988000</v>
      </c>
      <c r="R21" s="12">
        <v>0</v>
      </c>
      <c r="S21" s="12">
        <v>0</v>
      </c>
      <c r="T21" s="12">
        <v>0</v>
      </c>
      <c r="U21" s="6" t="s">
        <v>124</v>
      </c>
      <c r="V21" s="30" t="s">
        <v>83</v>
      </c>
    </row>
    <row r="22" spans="1:22" x14ac:dyDescent="0.25">
      <c r="A22" s="13" t="s">
        <v>28</v>
      </c>
      <c r="B22" s="6" t="s">
        <v>172</v>
      </c>
      <c r="C22" s="6" t="s">
        <v>173</v>
      </c>
      <c r="D22" s="12">
        <v>295000</v>
      </c>
      <c r="E22" s="12">
        <v>3</v>
      </c>
      <c r="F22" s="12">
        <v>18</v>
      </c>
      <c r="G22" s="12">
        <v>2</v>
      </c>
      <c r="H22" s="6">
        <v>45</v>
      </c>
      <c r="I22" s="6">
        <v>45</v>
      </c>
      <c r="J22" s="6" t="s">
        <v>61</v>
      </c>
      <c r="K22" s="5" t="s">
        <v>99</v>
      </c>
      <c r="L22" s="6" t="s">
        <v>55</v>
      </c>
      <c r="M22" s="14" t="s">
        <v>26</v>
      </c>
      <c r="N22" s="5" t="s">
        <v>26</v>
      </c>
      <c r="O22" s="6" t="s">
        <v>26</v>
      </c>
      <c r="P22" s="32" t="s">
        <v>123</v>
      </c>
      <c r="Q22" s="12">
        <v>885000</v>
      </c>
      <c r="R22" s="12">
        <v>0</v>
      </c>
      <c r="S22" s="12">
        <v>0</v>
      </c>
      <c r="T22" s="12">
        <v>0</v>
      </c>
      <c r="U22" s="6" t="s">
        <v>124</v>
      </c>
      <c r="V22" s="30" t="s">
        <v>83</v>
      </c>
    </row>
    <row r="23" spans="1:22" x14ac:dyDescent="0.25">
      <c r="A23" s="13" t="s">
        <v>28</v>
      </c>
      <c r="B23" s="6" t="s">
        <v>174</v>
      </c>
      <c r="C23" s="6" t="s">
        <v>175</v>
      </c>
      <c r="D23" s="12">
        <v>389000</v>
      </c>
      <c r="E23" s="12">
        <v>2</v>
      </c>
      <c r="F23" s="12">
        <v>1</v>
      </c>
      <c r="G23" s="12">
        <v>0</v>
      </c>
      <c r="H23" s="6" t="s">
        <v>126</v>
      </c>
      <c r="I23" s="6">
        <v>45</v>
      </c>
      <c r="J23" s="6" t="s">
        <v>135</v>
      </c>
      <c r="K23" s="5" t="s">
        <v>99</v>
      </c>
      <c r="L23" s="6" t="s">
        <v>55</v>
      </c>
      <c r="M23" s="14" t="s">
        <v>26</v>
      </c>
      <c r="N23" s="5" t="s">
        <v>26</v>
      </c>
      <c r="O23" s="6" t="s">
        <v>26</v>
      </c>
      <c r="P23" s="32" t="s">
        <v>123</v>
      </c>
      <c r="Q23" s="12">
        <v>778000</v>
      </c>
      <c r="R23" s="12">
        <v>0</v>
      </c>
      <c r="S23" s="12">
        <v>0</v>
      </c>
      <c r="T23" s="12">
        <v>0</v>
      </c>
      <c r="U23" s="6" t="s">
        <v>124</v>
      </c>
      <c r="V23" s="30" t="s">
        <v>83</v>
      </c>
    </row>
    <row r="24" spans="1:22" x14ac:dyDescent="0.25">
      <c r="A24" s="13" t="s">
        <v>28</v>
      </c>
      <c r="B24" s="6" t="s">
        <v>176</v>
      </c>
      <c r="C24" s="6" t="s">
        <v>177</v>
      </c>
      <c r="D24" s="12">
        <v>60000</v>
      </c>
      <c r="E24" s="12">
        <v>12</v>
      </c>
      <c r="F24" s="12">
        <v>3</v>
      </c>
      <c r="G24" s="12">
        <v>2</v>
      </c>
      <c r="H24" s="6">
        <v>180</v>
      </c>
      <c r="I24" s="6">
        <v>45</v>
      </c>
      <c r="J24" s="6" t="s">
        <v>122</v>
      </c>
      <c r="K24" s="5" t="s">
        <v>99</v>
      </c>
      <c r="L24" s="6" t="s">
        <v>55</v>
      </c>
      <c r="M24" s="14" t="s">
        <v>26</v>
      </c>
      <c r="N24" s="5" t="s">
        <v>26</v>
      </c>
      <c r="O24" s="6" t="s">
        <v>26</v>
      </c>
      <c r="P24" s="32" t="s">
        <v>123</v>
      </c>
      <c r="Q24" s="12">
        <v>720000</v>
      </c>
      <c r="R24" s="12">
        <v>0</v>
      </c>
      <c r="S24" s="12">
        <v>0</v>
      </c>
      <c r="T24" s="12">
        <v>0</v>
      </c>
      <c r="U24" s="6" t="s">
        <v>124</v>
      </c>
      <c r="V24" s="30" t="s">
        <v>83</v>
      </c>
    </row>
    <row r="25" spans="1:22" x14ac:dyDescent="0.25">
      <c r="A25" s="13" t="s">
        <v>28</v>
      </c>
      <c r="B25" s="6" t="s">
        <v>178</v>
      </c>
      <c r="C25" s="6" t="s">
        <v>179</v>
      </c>
      <c r="D25" s="12">
        <v>689000</v>
      </c>
      <c r="E25" s="12">
        <v>1</v>
      </c>
      <c r="F25" s="12">
        <v>1</v>
      </c>
      <c r="G25" s="12">
        <v>0</v>
      </c>
      <c r="H25" s="6" t="s">
        <v>126</v>
      </c>
      <c r="I25" s="6">
        <v>45</v>
      </c>
      <c r="J25" s="6" t="s">
        <v>122</v>
      </c>
      <c r="K25" s="5" t="s">
        <v>99</v>
      </c>
      <c r="L25" s="6" t="s">
        <v>55</v>
      </c>
      <c r="M25" s="14" t="s">
        <v>26</v>
      </c>
      <c r="N25" s="5" t="s">
        <v>26</v>
      </c>
      <c r="O25" s="6" t="s">
        <v>26</v>
      </c>
      <c r="P25" s="32" t="s">
        <v>123</v>
      </c>
      <c r="Q25" s="12">
        <v>689000</v>
      </c>
      <c r="R25" s="12">
        <v>0</v>
      </c>
      <c r="S25" s="12">
        <v>0</v>
      </c>
      <c r="T25" s="12">
        <v>0</v>
      </c>
      <c r="U25" s="6" t="s">
        <v>124</v>
      </c>
      <c r="V25" s="30" t="s">
        <v>83</v>
      </c>
    </row>
    <row r="26" spans="1:22" x14ac:dyDescent="0.25">
      <c r="A26" s="13" t="s">
        <v>28</v>
      </c>
      <c r="B26" s="6" t="s">
        <v>140</v>
      </c>
      <c r="C26" s="6" t="s">
        <v>141</v>
      </c>
      <c r="D26" s="12">
        <v>159000</v>
      </c>
      <c r="E26" s="12">
        <v>3</v>
      </c>
      <c r="F26" s="12">
        <v>5</v>
      </c>
      <c r="G26" s="12">
        <v>0</v>
      </c>
      <c r="H26" s="6" t="s">
        <v>126</v>
      </c>
      <c r="I26" s="6">
        <v>45</v>
      </c>
      <c r="J26" s="6" t="s">
        <v>122</v>
      </c>
      <c r="K26" s="5" t="s">
        <v>99</v>
      </c>
      <c r="L26" s="6" t="s">
        <v>55</v>
      </c>
      <c r="M26" s="14" t="s">
        <v>26</v>
      </c>
      <c r="N26" s="5" t="s">
        <v>26</v>
      </c>
      <c r="O26" s="6" t="s">
        <v>26</v>
      </c>
      <c r="P26" s="32" t="s">
        <v>123</v>
      </c>
      <c r="Q26" s="12">
        <v>477000</v>
      </c>
      <c r="R26" s="12">
        <v>0</v>
      </c>
      <c r="S26" s="12">
        <v>0</v>
      </c>
      <c r="T26" s="12">
        <v>0</v>
      </c>
      <c r="U26" s="6" t="s">
        <v>124</v>
      </c>
      <c r="V26" s="30" t="s">
        <v>83</v>
      </c>
    </row>
    <row r="27" spans="1:22" x14ac:dyDescent="0.25">
      <c r="A27" s="13" t="s">
        <v>28</v>
      </c>
      <c r="B27" s="6" t="s">
        <v>180</v>
      </c>
      <c r="C27" s="6" t="s">
        <v>181</v>
      </c>
      <c r="D27" s="12">
        <v>450000</v>
      </c>
      <c r="E27" s="12">
        <v>1</v>
      </c>
      <c r="F27" s="12">
        <v>1</v>
      </c>
      <c r="G27" s="12">
        <v>0</v>
      </c>
      <c r="H27" s="6" t="s">
        <v>126</v>
      </c>
      <c r="I27" s="6">
        <v>45</v>
      </c>
      <c r="J27" s="6" t="s">
        <v>135</v>
      </c>
      <c r="K27" s="5" t="s">
        <v>99</v>
      </c>
      <c r="L27" s="6" t="s">
        <v>55</v>
      </c>
      <c r="M27" s="14" t="s">
        <v>26</v>
      </c>
      <c r="N27" s="5" t="s">
        <v>26</v>
      </c>
      <c r="O27" s="6" t="s">
        <v>26</v>
      </c>
      <c r="P27" s="32" t="s">
        <v>123</v>
      </c>
      <c r="Q27" s="12">
        <v>450000</v>
      </c>
      <c r="R27" s="12">
        <v>0</v>
      </c>
      <c r="S27" s="12">
        <v>0</v>
      </c>
      <c r="T27" s="12">
        <v>0</v>
      </c>
      <c r="U27" s="6" t="s">
        <v>124</v>
      </c>
      <c r="V27" s="30" t="s">
        <v>83</v>
      </c>
    </row>
    <row r="28" spans="1:22" x14ac:dyDescent="0.25">
      <c r="A28" s="13" t="s">
        <v>28</v>
      </c>
      <c r="B28" s="6" t="s">
        <v>182</v>
      </c>
      <c r="C28" s="6" t="s">
        <v>183</v>
      </c>
      <c r="D28" s="12">
        <v>414232</v>
      </c>
      <c r="E28" s="12">
        <v>1</v>
      </c>
      <c r="F28" s="12">
        <v>1</v>
      </c>
      <c r="G28" s="12">
        <v>0</v>
      </c>
      <c r="H28" s="6" t="s">
        <v>126</v>
      </c>
      <c r="I28" s="6">
        <v>45</v>
      </c>
      <c r="J28" s="6" t="s">
        <v>122</v>
      </c>
      <c r="K28" s="5" t="s">
        <v>99</v>
      </c>
      <c r="L28" s="6" t="s">
        <v>55</v>
      </c>
      <c r="M28" s="14" t="s">
        <v>26</v>
      </c>
      <c r="N28" s="5" t="s">
        <v>26</v>
      </c>
      <c r="O28" s="6" t="s">
        <v>26</v>
      </c>
      <c r="P28" s="32" t="s">
        <v>123</v>
      </c>
      <c r="Q28" s="12">
        <v>414232</v>
      </c>
      <c r="R28" s="12">
        <v>0</v>
      </c>
      <c r="S28" s="12">
        <v>0</v>
      </c>
      <c r="T28" s="12">
        <v>0</v>
      </c>
      <c r="U28" s="6" t="s">
        <v>124</v>
      </c>
      <c r="V28" s="30" t="s">
        <v>83</v>
      </c>
    </row>
    <row r="29" spans="1:22" x14ac:dyDescent="0.25">
      <c r="A29" s="13" t="s">
        <v>28</v>
      </c>
      <c r="B29" s="6" t="s">
        <v>184</v>
      </c>
      <c r="C29" s="6" t="s">
        <v>185</v>
      </c>
      <c r="D29" s="12">
        <v>40000</v>
      </c>
      <c r="E29" s="12">
        <v>10</v>
      </c>
      <c r="F29" s="12">
        <v>3</v>
      </c>
      <c r="G29" s="12">
        <v>1</v>
      </c>
      <c r="H29" s="6">
        <v>300</v>
      </c>
      <c r="I29" s="6">
        <v>45</v>
      </c>
      <c r="J29" s="6" t="s">
        <v>122</v>
      </c>
      <c r="K29" s="5" t="s">
        <v>99</v>
      </c>
      <c r="L29" s="6" t="s">
        <v>55</v>
      </c>
      <c r="M29" s="14" t="s">
        <v>26</v>
      </c>
      <c r="N29" s="5" t="s">
        <v>26</v>
      </c>
      <c r="O29" s="6" t="s">
        <v>26</v>
      </c>
      <c r="P29" s="32" t="s">
        <v>123</v>
      </c>
      <c r="Q29" s="12">
        <v>400000</v>
      </c>
      <c r="R29" s="12">
        <v>0</v>
      </c>
      <c r="S29" s="12">
        <v>0</v>
      </c>
      <c r="T29" s="12">
        <v>0</v>
      </c>
      <c r="U29" s="6" t="s">
        <v>124</v>
      </c>
      <c r="V29" s="30" t="s">
        <v>83</v>
      </c>
    </row>
    <row r="30" spans="1:22" x14ac:dyDescent="0.25">
      <c r="A30" s="13" t="s">
        <v>28</v>
      </c>
      <c r="B30" s="6" t="s">
        <v>186</v>
      </c>
      <c r="C30" s="6" t="s">
        <v>187</v>
      </c>
      <c r="D30" s="12">
        <v>349000</v>
      </c>
      <c r="E30" s="12">
        <v>1</v>
      </c>
      <c r="F30" s="12">
        <v>1</v>
      </c>
      <c r="G30" s="12">
        <v>0</v>
      </c>
      <c r="H30" s="6" t="s">
        <v>126</v>
      </c>
      <c r="I30" s="6">
        <v>45</v>
      </c>
      <c r="J30" s="6" t="s">
        <v>135</v>
      </c>
      <c r="K30" s="5" t="s">
        <v>99</v>
      </c>
      <c r="L30" s="6" t="s">
        <v>55</v>
      </c>
      <c r="M30" s="14" t="s">
        <v>26</v>
      </c>
      <c r="N30" s="5" t="s">
        <v>26</v>
      </c>
      <c r="O30" s="6" t="s">
        <v>26</v>
      </c>
      <c r="P30" s="32" t="s">
        <v>123</v>
      </c>
      <c r="Q30" s="12">
        <v>349000</v>
      </c>
      <c r="R30" s="12">
        <v>0</v>
      </c>
      <c r="S30" s="12">
        <v>0</v>
      </c>
      <c r="T30" s="12">
        <v>0</v>
      </c>
      <c r="U30" s="6" t="s">
        <v>124</v>
      </c>
      <c r="V30" s="30" t="s">
        <v>83</v>
      </c>
    </row>
    <row r="31" spans="1:22" x14ac:dyDescent="0.25">
      <c r="A31" s="13" t="s">
        <v>28</v>
      </c>
      <c r="B31" s="6" t="s">
        <v>142</v>
      </c>
      <c r="C31" s="6" t="s">
        <v>143</v>
      </c>
      <c r="D31" s="12">
        <v>115000</v>
      </c>
      <c r="E31" s="12">
        <v>3</v>
      </c>
      <c r="F31" s="12">
        <v>22</v>
      </c>
      <c r="G31" s="12">
        <v>9</v>
      </c>
      <c r="H31" s="6">
        <v>10</v>
      </c>
      <c r="I31" s="6">
        <v>45</v>
      </c>
      <c r="J31" s="6" t="s">
        <v>61</v>
      </c>
      <c r="K31" s="5" t="s">
        <v>99</v>
      </c>
      <c r="L31" s="6" t="s">
        <v>55</v>
      </c>
      <c r="M31" s="14" t="s">
        <v>26</v>
      </c>
      <c r="N31" s="5" t="s">
        <v>26</v>
      </c>
      <c r="O31" s="6" t="s">
        <v>26</v>
      </c>
      <c r="P31" s="32" t="s">
        <v>123</v>
      </c>
      <c r="Q31" s="12">
        <v>345000</v>
      </c>
      <c r="R31" s="12">
        <v>0</v>
      </c>
      <c r="S31" s="12">
        <v>0</v>
      </c>
      <c r="T31" s="12">
        <v>0</v>
      </c>
      <c r="U31" s="6" t="s">
        <v>124</v>
      </c>
      <c r="V31" s="30" t="s">
        <v>83</v>
      </c>
    </row>
    <row r="32" spans="1:22" x14ac:dyDescent="0.25">
      <c r="A32" s="13" t="s">
        <v>28</v>
      </c>
      <c r="B32" s="6" t="s">
        <v>188</v>
      </c>
      <c r="C32" s="6" t="s">
        <v>189</v>
      </c>
      <c r="D32" s="12">
        <v>166812</v>
      </c>
      <c r="E32" s="12">
        <v>1</v>
      </c>
      <c r="F32" s="12">
        <v>1</v>
      </c>
      <c r="G32" s="12">
        <v>0</v>
      </c>
      <c r="H32" s="6" t="s">
        <v>126</v>
      </c>
      <c r="I32" s="6">
        <v>45</v>
      </c>
      <c r="J32" s="6" t="s">
        <v>122</v>
      </c>
      <c r="K32" s="5" t="s">
        <v>99</v>
      </c>
      <c r="L32" s="6" t="s">
        <v>55</v>
      </c>
      <c r="M32" s="14" t="s">
        <v>26</v>
      </c>
      <c r="N32" s="5" t="s">
        <v>26</v>
      </c>
      <c r="O32" s="6" t="s">
        <v>26</v>
      </c>
      <c r="P32" s="32" t="s">
        <v>123</v>
      </c>
      <c r="Q32" s="12">
        <v>166812</v>
      </c>
      <c r="R32" s="12">
        <v>0</v>
      </c>
      <c r="S32" s="12">
        <v>0</v>
      </c>
      <c r="T32" s="12">
        <v>0</v>
      </c>
      <c r="U32" s="6" t="s">
        <v>124</v>
      </c>
      <c r="V32" s="30" t="s">
        <v>83</v>
      </c>
    </row>
    <row r="33" spans="1:22" x14ac:dyDescent="0.25">
      <c r="A33" s="13" t="s">
        <v>28</v>
      </c>
      <c r="B33" s="6" t="s">
        <v>190</v>
      </c>
      <c r="C33" s="6" t="s">
        <v>191</v>
      </c>
      <c r="D33" s="12">
        <v>0</v>
      </c>
      <c r="E33" s="12">
        <v>8</v>
      </c>
      <c r="F33" s="12">
        <v>3</v>
      </c>
      <c r="G33" s="12">
        <v>0</v>
      </c>
      <c r="H33" s="6" t="s">
        <v>126</v>
      </c>
      <c r="I33" s="6">
        <v>45</v>
      </c>
      <c r="J33" s="6" t="s">
        <v>61</v>
      </c>
      <c r="K33" s="5" t="s">
        <v>99</v>
      </c>
      <c r="L33" s="6" t="s">
        <v>55</v>
      </c>
      <c r="M33" s="14" t="s">
        <v>26</v>
      </c>
      <c r="N33" s="5" t="s">
        <v>26</v>
      </c>
      <c r="O33" s="6" t="s">
        <v>26</v>
      </c>
      <c r="P33" s="32" t="s">
        <v>123</v>
      </c>
      <c r="Q33" s="12">
        <v>0</v>
      </c>
      <c r="R33" s="12">
        <v>0</v>
      </c>
      <c r="S33" s="12">
        <v>0</v>
      </c>
      <c r="T33" s="12">
        <v>0</v>
      </c>
      <c r="U33" s="6" t="s">
        <v>124</v>
      </c>
      <c r="V33" s="30" t="s">
        <v>83</v>
      </c>
    </row>
    <row r="34" spans="1:22" x14ac:dyDescent="0.25">
      <c r="A34" s="13" t="s">
        <v>28</v>
      </c>
      <c r="B34" s="6" t="s">
        <v>192</v>
      </c>
      <c r="C34" s="6" t="s">
        <v>193</v>
      </c>
      <c r="D34" s="12">
        <v>0</v>
      </c>
      <c r="E34" s="12">
        <v>2</v>
      </c>
      <c r="F34" s="12">
        <v>1</v>
      </c>
      <c r="G34" s="12">
        <v>0</v>
      </c>
      <c r="H34" s="6" t="s">
        <v>126</v>
      </c>
      <c r="I34" s="6">
        <v>45</v>
      </c>
      <c r="J34" s="6" t="s">
        <v>135</v>
      </c>
      <c r="K34" s="5" t="s">
        <v>99</v>
      </c>
      <c r="L34" s="6" t="s">
        <v>55</v>
      </c>
      <c r="M34" s="14" t="s">
        <v>26</v>
      </c>
      <c r="N34" s="5" t="s">
        <v>26</v>
      </c>
      <c r="O34" s="6" t="s">
        <v>26</v>
      </c>
      <c r="P34" s="32" t="s">
        <v>123</v>
      </c>
      <c r="Q34" s="12">
        <v>0</v>
      </c>
      <c r="R34" s="12">
        <v>0</v>
      </c>
      <c r="S34" s="12">
        <v>0</v>
      </c>
      <c r="T34" s="12">
        <v>0</v>
      </c>
      <c r="U34" s="6" t="s">
        <v>124</v>
      </c>
      <c r="V34" s="30" t="s">
        <v>83</v>
      </c>
    </row>
    <row r="35" spans="1:22" x14ac:dyDescent="0.25">
      <c r="A35" s="13" t="s">
        <v>28</v>
      </c>
      <c r="B35" s="6" t="s">
        <v>194</v>
      </c>
      <c r="C35" s="6" t="s">
        <v>195</v>
      </c>
      <c r="D35" s="12">
        <v>0</v>
      </c>
      <c r="E35" s="12">
        <v>2</v>
      </c>
      <c r="F35" s="12">
        <v>1</v>
      </c>
      <c r="G35" s="12">
        <v>0</v>
      </c>
      <c r="H35" s="6" t="s">
        <v>126</v>
      </c>
      <c r="I35" s="6">
        <v>45</v>
      </c>
      <c r="J35" s="6" t="s">
        <v>135</v>
      </c>
      <c r="K35" s="5" t="s">
        <v>99</v>
      </c>
      <c r="L35" s="6" t="s">
        <v>55</v>
      </c>
      <c r="M35" s="14" t="s">
        <v>26</v>
      </c>
      <c r="N35" s="5" t="s">
        <v>26</v>
      </c>
      <c r="O35" s="6" t="s">
        <v>26</v>
      </c>
      <c r="P35" s="32" t="s">
        <v>123</v>
      </c>
      <c r="Q35" s="12">
        <v>0</v>
      </c>
      <c r="R35" s="12">
        <v>0</v>
      </c>
      <c r="S35" s="12">
        <v>0</v>
      </c>
      <c r="T35" s="12">
        <v>0</v>
      </c>
      <c r="U35" s="6" t="s">
        <v>124</v>
      </c>
      <c r="V35" s="30" t="s">
        <v>83</v>
      </c>
    </row>
  </sheetData>
  <autoFilter ref="A1:V3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Chi tiết per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2026-04-11T01:14:58Z</dcterms:created>
  <dcterms:modified xsi:type="dcterms:W3CDTF">2026-04-15T03:15:59Z</dcterms:modified>
</cp:coreProperties>
</file>